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Orders" sheetId="2" state="visible" r:id="rId2"/>
    <sheet name="Summary" sheetId="3" state="visible" r:id="rId3"/>
  </sheets>
  <definedNames>
    <definedName name="_xlnm._FilterDatabase" localSheetId="1" hidden="1">'Orders'!$A$1:$Q$1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11114"/>
      <sz val="15"/>
    </font>
    <font>
      <color rgb="00111114"/>
      <sz val="11"/>
    </font>
    <font>
      <b val="1"/>
      <color rgb="00111114"/>
      <sz val="12"/>
    </font>
    <font>
      <b val="1"/>
      <color rgb="00656A78"/>
      <sz val="11"/>
    </font>
    <font>
      <b val="1"/>
      <color rgb="00FF2B20"/>
      <sz val="11"/>
    </font>
    <font>
      <b val="1"/>
      <color rgb="00111114"/>
      <sz val="11"/>
    </font>
  </fonts>
  <fills count="3">
    <fill>
      <patternFill/>
    </fill>
    <fill>
      <patternFill patternType="gray125"/>
    </fill>
    <fill>
      <patternFill patternType="solid">
        <fgColor rgb="000B0E1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/>
    </xf>
    <xf numFmtId="0" fontId="4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StreamPlay4K orders</t>
        </is>
      </c>
    </row>
    <row r="2">
      <c r="A2" s="2" t="inlineStr"/>
    </row>
    <row r="3">
      <c r="A3" s="2" t="inlineStr">
        <is>
          <t>Rows arrive here automatically once the Apps Script is connected.</t>
        </is>
      </c>
    </row>
    <row r="4">
      <c r="A4" s="2" t="inlineStr">
        <is>
          <t>Setup takes about five minutes and is written out in DEPLOY.md, section 7.</t>
        </is>
      </c>
    </row>
    <row r="5">
      <c r="A5" s="2" t="inlineStr"/>
    </row>
    <row r="6">
      <c r="A6" s="3" t="inlineStr">
        <is>
          <t>Do not rename the Orders tab, and do not reorder or rename its columns.</t>
        </is>
      </c>
    </row>
    <row r="7">
      <c r="A7" s="2" t="inlineStr">
        <is>
          <t>The script writes to the Orders tab by name and by column position.</t>
        </is>
      </c>
    </row>
    <row r="8">
      <c r="A8" s="2" t="inlineStr"/>
    </row>
    <row r="9">
      <c r="A9" s="4" t="inlineStr">
        <is>
          <t>Safe to do:</t>
        </is>
      </c>
    </row>
    <row r="10">
      <c r="A10" s="2" t="inlineStr">
        <is>
          <t xml:space="preserve">  Add new columns to the RIGHT of Notes — the script never touches them.</t>
        </is>
      </c>
    </row>
    <row r="11">
      <c r="A11" s="2" t="inlineStr">
        <is>
          <t xml:space="preserve">  Type in Notes. It is yours; nothing overwrites it.</t>
        </is>
      </c>
    </row>
    <row r="12">
      <c r="A12" s="2" t="inlineStr">
        <is>
          <t xml:space="preserve">  Sort and filter. Rows are matched by Order ID, not by position.</t>
        </is>
      </c>
    </row>
    <row r="13">
      <c r="A13" s="2" t="inlineStr">
        <is>
          <t xml:space="preserve">  Add more tabs of your own.</t>
        </is>
      </c>
    </row>
    <row r="14">
      <c r="A14" s="2" t="inlineStr"/>
    </row>
    <row r="15">
      <c r="A15" s="2" t="inlineStr">
        <is>
          <t>An order that changes — marked paid, then activated — updates the row it</t>
        </is>
      </c>
    </row>
    <row r="16">
      <c r="A16" s="2" t="inlineStr">
        <is>
          <t>already has rather than adding a second one.</t>
        </is>
      </c>
    </row>
    <row r="17">
      <c r="A17" s="2" t="inlineStr"/>
    </row>
    <row r="18">
      <c r="A18" s="2" t="inlineStr">
        <is>
          <t>This sheet is a copy, not the original. Every order is also stored on your</t>
        </is>
      </c>
    </row>
    <row r="19">
      <c r="A19" s="2" t="inlineStr">
        <is>
          <t>own server, outside the web root. If this sheet is deleted or the script</t>
        </is>
      </c>
    </row>
    <row r="20">
      <c r="A20" s="2" t="inlineStr">
        <is>
          <t>stops, nothing is lost and nothing about the shop stops working.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12" customWidth="1" min="3" max="3"/>
    <col width="11" customWidth="1" min="4" max="4"/>
    <col width="11" customWidth="1" min="5" max="5"/>
    <col width="8" customWidth="1" min="6" max="6"/>
    <col width="9" customWidth="1" min="7" max="7"/>
    <col width="11" customWidth="1" min="8" max="8"/>
    <col width="13" customWidth="1" min="9" max="9"/>
    <col width="19" customWidth="1" min="10" max="10"/>
    <col width="28" customWidth="1" min="11" max="11"/>
    <col width="9" customWidth="1" min="12" max="12"/>
    <col width="18" customWidth="1" min="13" max="13"/>
    <col width="26" customWidth="1" min="14" max="14"/>
    <col width="20" customWidth="1" min="15" max="15"/>
    <col width="20" customWidth="1" min="16" max="16"/>
    <col width="30" customWidth="1" min="17" max="17"/>
  </cols>
  <sheetData>
    <row r="1" ht="26" customHeight="1">
      <c r="A1" s="5" t="inlineStr">
        <is>
          <t>Order ID</t>
        </is>
      </c>
      <c r="B1" s="5" t="inlineStr">
        <is>
          <t>Created (UTC)</t>
        </is>
      </c>
      <c r="C1" s="5" t="inlineStr">
        <is>
          <t>Status</t>
        </is>
      </c>
      <c r="D1" s="5" t="inlineStr">
        <is>
          <t>Plan</t>
        </is>
      </c>
      <c r="E1" s="5" t="inlineStr">
        <is>
          <t>Term</t>
        </is>
      </c>
      <c r="F1" s="5" t="inlineStr">
        <is>
          <t>Months</t>
        </is>
      </c>
      <c r="G1" s="5" t="inlineStr">
        <is>
          <t>Devices</t>
        </is>
      </c>
      <c r="H1" s="5" t="inlineStr">
        <is>
          <t>Total</t>
        </is>
      </c>
      <c r="I1" s="5" t="inlineStr">
        <is>
          <t>Total (cents)</t>
        </is>
      </c>
      <c r="J1" s="5" t="inlineStr">
        <is>
          <t>Phone</t>
        </is>
      </c>
      <c r="K1" s="5" t="inlineStr">
        <is>
          <t>Email</t>
        </is>
      </c>
      <c r="L1" s="5" t="inlineStr">
        <is>
          <t>Country</t>
        </is>
      </c>
      <c r="M1" s="5" t="inlineStr">
        <is>
          <t>Source page</t>
        </is>
      </c>
      <c r="N1" s="5" t="inlineStr">
        <is>
          <t>Campaign</t>
        </is>
      </c>
      <c r="O1" s="5" t="inlineStr">
        <is>
          <t>Paid at</t>
        </is>
      </c>
      <c r="P1" s="5" t="inlineStr">
        <is>
          <t>Activated at</t>
        </is>
      </c>
      <c r="Q1" s="5" t="inlineStr">
        <is>
          <t>Notes</t>
        </is>
      </c>
    </row>
  </sheetData>
  <autoFilter ref="A1:Q1"/>
  <dataValidations count="1">
    <dataValidation sqref="C2:C2000" showDropDown="0" showInputMessage="0" showErrorMessage="0" allowBlank="1" type="list">
      <formula1>"new,paid,activated,cancelled"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</cols>
  <sheetData>
    <row r="1">
      <c r="A1" s="1" t="inlineStr">
        <is>
          <t>StreamPlay4K — orders at a glance</t>
        </is>
      </c>
    </row>
    <row r="2">
      <c r="A2" s="2" t="n"/>
      <c r="B2" s="6" t="n"/>
    </row>
    <row r="3">
      <c r="A3" s="2" t="inlineStr">
        <is>
          <t>Orders received</t>
        </is>
      </c>
      <c r="B3" s="6">
        <f>COUNTA(Orders!A2:A2000)</f>
        <v/>
      </c>
    </row>
    <row r="4">
      <c r="A4" s="2" t="inlineStr">
        <is>
          <t>Paid</t>
        </is>
      </c>
      <c r="B4" s="6">
        <f>COUNTIF(Orders!C2:C2000,"paid")+COUNTIF(Orders!C2:C2000,"activated")</f>
        <v/>
      </c>
    </row>
    <row r="5">
      <c r="A5" s="2" t="inlineStr">
        <is>
          <t>Awaiting payment</t>
        </is>
      </c>
      <c r="B5" s="6">
        <f>COUNTIF(Orders!C2:C2000,"new")</f>
        <v/>
      </c>
    </row>
    <row r="6">
      <c r="A6" s="2" t="inlineStr">
        <is>
          <t>Cancelled</t>
        </is>
      </c>
      <c r="B6" s="6">
        <f>COUNTIF(Orders!C2:C2000,"cancelled")</f>
        <v/>
      </c>
    </row>
    <row r="7">
      <c r="A7" s="2" t="n"/>
      <c r="B7" s="6" t="n"/>
    </row>
    <row r="8">
      <c r="A8" s="2" t="inlineStr">
        <is>
          <t>Paid revenue</t>
        </is>
      </c>
      <c r="B8" s="7">
        <f>(SUMIF(Orders!C2:C2000,"paid",Orders!I2:I2000)+SUMIF(Orders!C2:C2000,"activated",Orders!I2:I2000))/100</f>
        <v/>
      </c>
    </row>
    <row r="9">
      <c r="A9" s="2" t="inlineStr">
        <is>
          <t>Still to collect</t>
        </is>
      </c>
      <c r="B9" s="7">
        <f>SUMIF(Orders!C2:C2000,"new",Orders!I2:I2000)/100</f>
        <v/>
      </c>
    </row>
    <row r="10">
      <c r="A10" s="2" t="inlineStr">
        <is>
          <t>Average order</t>
        </is>
      </c>
      <c r="B10" s="7">
        <f>IFERROR((SUMIF(Orders!C2:C2000,"paid",Orders!I2:I2000)+SUMIF(Orders!C2:C2000,"activated",Orders!I2:I2000))/100/(COUNTIF(Orders!C2:C2000,"paid")+COUNTIF(Orders!C2:C2000,"activated")),0)</f>
        <v/>
      </c>
    </row>
    <row r="11">
      <c r="A11" s="2" t="n"/>
      <c r="B11" s="6" t="n"/>
    </row>
    <row r="12">
      <c r="A12" s="8" t="inlineStr">
        <is>
          <t>By plan</t>
        </is>
      </c>
    </row>
    <row r="13">
      <c r="A13" s="2" t="inlineStr">
        <is>
          <t>Basic — 3 months</t>
        </is>
      </c>
      <c r="B13" s="6">
        <f>COUNTIF(Orders!D2:D2000,"Basic")</f>
        <v/>
      </c>
    </row>
    <row r="14">
      <c r="A14" s="2" t="inlineStr">
        <is>
          <t>Standard — 6 months</t>
        </is>
      </c>
      <c r="B14" s="6">
        <f>COUNTIF(Orders!D2:D2000,"Standard")</f>
        <v/>
      </c>
    </row>
    <row r="15">
      <c r="A15" s="2" t="inlineStr">
        <is>
          <t>Premium — 12 months</t>
        </is>
      </c>
      <c r="B15" s="6">
        <f>COUNTIF(Orders!D2:D2000,"Premium")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2026-09-09T05:53:18Z</dcterms:created>
  <dcterms:modified xsi:type="dcterms:W3CDTF">2026-09-09T05:53:18Z</dcterms:modified>
</cp:coreProperties>
</file>